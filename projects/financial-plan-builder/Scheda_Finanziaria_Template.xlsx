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7F6000"/>
    </font>
    <font>
      <b val="1"/>
    </font>
    <font>
      <b val="1"/>
      <color rgb="001F3864"/>
    </font>
    <font>
      <name val="Calibri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9" fontId="3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6" customWidth="1" min="3" max="3"/>
    <col width="10" customWidth="1" min="4" max="4"/>
    <col width="9" customWidth="1" min="5" max="5"/>
    <col width="14" customWidth="1" min="6" max="6"/>
  </cols>
  <sheetData>
    <row r="1" ht="26" customHeight="1">
      <c r="A1" s="1" t="inlineStr">
        <is>
          <t>SCHEDA FINANZIARIA — A/B/C/D/E</t>
        </is>
      </c>
    </row>
    <row r="3">
      <c r="A3" s="2" t="inlineStr">
        <is>
          <t>1) PARAMETRI DI CALCOLO  (celle gialle = da compilare)</t>
        </is>
      </c>
    </row>
    <row r="4">
      <c r="A4" s="3" t="inlineStr">
        <is>
          <t>Target E — finanziamento desiderato</t>
        </is>
      </c>
      <c r="B4" s="4" t="n">
        <v>10349</v>
      </c>
    </row>
    <row r="5">
      <c r="A5" s="3" t="inlineStr">
        <is>
          <t>D % su C — costi indiretti (max 25%)</t>
        </is>
      </c>
      <c r="B5" s="5" t="n">
        <v>0.25</v>
      </c>
    </row>
    <row r="6">
      <c r="A6" s="6" t="inlineStr">
        <is>
          <t>C target (A+B)  = E / (1+D%)</t>
        </is>
      </c>
      <c r="B6" s="7">
        <f>B4/(1+B5)</f>
        <v/>
      </c>
    </row>
    <row r="7">
      <c r="A7" s="6" t="inlineStr">
        <is>
          <t>A massimo  (35% di E)</t>
        </is>
      </c>
      <c r="B7" s="7">
        <f>35%*B4</f>
        <v/>
      </c>
    </row>
    <row r="8">
      <c r="A8" s="6" t="inlineStr">
        <is>
          <t>B minimo  (40% di E)</t>
        </is>
      </c>
      <c r="B8" s="7">
        <f>40%*B4</f>
        <v/>
      </c>
    </row>
    <row r="9">
      <c r="A9" s="6" t="inlineStr">
        <is>
          <t>D calcolato target (C × D%)</t>
        </is>
      </c>
      <c r="B9" s="7">
        <f>B6*B5</f>
        <v/>
      </c>
    </row>
    <row r="11">
      <c r="A11" s="2" t="inlineStr">
        <is>
          <t>2) A — COSTI DIRETTI propedeutici, accompagnamento e finali   (MAX 35% di E)</t>
        </is>
      </c>
    </row>
    <row r="12">
      <c r="A12" s="8" t="inlineStr">
        <is>
          <t>Cod.</t>
        </is>
      </c>
      <c r="B12" s="8" t="inlineStr">
        <is>
          <t>Voce di costo</t>
        </is>
      </c>
      <c r="C12" s="8" t="inlineStr">
        <is>
          <t>Persona</t>
        </is>
      </c>
      <c r="D12" s="8" t="inlineStr">
        <is>
          <t>€/h</t>
        </is>
      </c>
      <c r="E12" s="8" t="inlineStr">
        <is>
          <t>Ore</t>
        </is>
      </c>
      <c r="F12" s="8" t="inlineStr">
        <is>
          <t>Costo €</t>
        </is>
      </c>
    </row>
    <row r="13">
      <c r="A13" s="9" t="inlineStr">
        <is>
          <t>A1</t>
        </is>
      </c>
      <c r="B13" s="3" t="inlineStr">
        <is>
          <t>Progettazione esecutiva</t>
        </is>
      </c>
      <c r="C13" s="10" t="inlineStr">
        <is>
          <t>Docente E</t>
        </is>
      </c>
      <c r="D13" s="11" t="n">
        <v>21.27</v>
      </c>
      <c r="E13" s="12" t="n">
        <v>40</v>
      </c>
      <c r="F13" s="7">
        <f>IF(OR(D13="",E13=""),"",D13*E13)</f>
        <v/>
      </c>
    </row>
    <row r="14">
      <c r="A14" s="9" t="inlineStr">
        <is>
          <t>A2</t>
        </is>
      </c>
      <c r="B14" s="3" t="inlineStr">
        <is>
          <t>Ricerche</t>
        </is>
      </c>
      <c r="C14" s="13" t="n"/>
      <c r="D14" s="14" t="n"/>
      <c r="E14" s="15" t="n"/>
      <c r="F14" s="7">
        <f>IF(OR(D14="",E14=""),"",D14*E14)</f>
        <v/>
      </c>
    </row>
    <row r="15">
      <c r="A15" s="9" t="inlineStr">
        <is>
          <t>A3</t>
        </is>
      </c>
      <c r="B15" s="3" t="inlineStr">
        <is>
          <t>Selezione - orientamento - bilancio delle competenze</t>
        </is>
      </c>
      <c r="C15" s="13" t="n"/>
      <c r="D15" s="14" t="n"/>
      <c r="E15" s="15" t="n"/>
      <c r="F15" s="7">
        <f>IF(OR(D15="",E15=""),"",D15*E15)</f>
        <v/>
      </c>
    </row>
    <row r="16">
      <c r="A16" s="9" t="inlineStr">
        <is>
          <t>A4</t>
        </is>
      </c>
      <c r="B16" s="3" t="inlineStr">
        <is>
          <t>Formazione formatori</t>
        </is>
      </c>
      <c r="C16" s="13" t="n"/>
      <c r="D16" s="14" t="n"/>
      <c r="E16" s="15" t="n"/>
      <c r="F16" s="7">
        <f>IF(OR(D16="",E16=""),"",D16*E16)</f>
        <v/>
      </c>
    </row>
    <row r="17">
      <c r="A17" s="9" t="inlineStr">
        <is>
          <t>A5</t>
        </is>
      </c>
      <c r="B17" s="3" t="inlineStr">
        <is>
          <t>Coordinamento e gestione</t>
        </is>
      </c>
      <c r="C17" s="10" t="inlineStr">
        <is>
          <t>Coordinatore A</t>
        </is>
      </c>
      <c r="D17" s="11" t="n">
        <v>25.54</v>
      </c>
      <c r="E17" s="12" t="n">
        <v>40</v>
      </c>
      <c r="F17" s="7">
        <f>IF(OR(D17="",E17=""),"",D17*E17)</f>
        <v/>
      </c>
    </row>
    <row r="18">
      <c r="A18" s="9" t="inlineStr">
        <is>
          <t>A6</t>
        </is>
      </c>
      <c r="B18" s="3" t="inlineStr">
        <is>
          <t>Monitoraggio e valutazione</t>
        </is>
      </c>
      <c r="C18" s="13" t="n"/>
      <c r="D18" s="14" t="n"/>
      <c r="E18" s="15" t="n"/>
      <c r="F18" s="7">
        <f>IF(OR(D18="",E18=""),"",D18*E18)</f>
        <v/>
      </c>
    </row>
    <row r="19">
      <c r="A19" s="9" t="inlineStr">
        <is>
          <t>A7</t>
        </is>
      </c>
      <c r="B19" s="3" t="inlineStr">
        <is>
          <t>Promozione e diffusione dei risultati</t>
        </is>
      </c>
      <c r="C19" s="13" t="n"/>
      <c r="D19" s="14" t="n"/>
      <c r="E19" s="15" t="n"/>
      <c r="F19" s="7">
        <f>IF(OR(D19="",E19=""),"",D19*E19)</f>
        <v/>
      </c>
    </row>
    <row r="20">
      <c r="A20" s="9" t="inlineStr">
        <is>
          <t>A8</t>
        </is>
      </c>
      <c r="B20" s="3" t="inlineStr">
        <is>
          <t>Fidejussione</t>
        </is>
      </c>
      <c r="C20" s="10" t="inlineStr">
        <is>
          <t>Polizza fidejussoria</t>
        </is>
      </c>
      <c r="D20" s="11" t="n">
        <v>200</v>
      </c>
      <c r="E20" s="12" t="n">
        <v>1</v>
      </c>
      <c r="F20" s="7">
        <f>IF(OR(D20="",E20=""),"",D20*E20)</f>
        <v/>
      </c>
    </row>
    <row r="21">
      <c r="A21" s="9" t="inlineStr">
        <is>
          <t>A9</t>
        </is>
      </c>
      <c r="B21" s="3" t="inlineStr">
        <is>
          <t>Spese di viaggio</t>
        </is>
      </c>
      <c r="C21" s="13" t="n"/>
      <c r="D21" s="14" t="n"/>
      <c r="E21" s="15" t="n"/>
      <c r="F21" s="7">
        <f>IF(OR(D21="",E21=""),"",D21*E21)</f>
        <v/>
      </c>
    </row>
    <row r="22">
      <c r="A22" s="9" t="inlineStr">
        <is>
          <t>A5</t>
        </is>
      </c>
      <c r="B22" s="3" t="inlineStr">
        <is>
          <t>Coordinamento e gestione (Rendicontazione)</t>
        </is>
      </c>
      <c r="C22" s="16" t="inlineStr">
        <is>
          <t>Consulente B</t>
        </is>
      </c>
      <c r="D22" s="4" t="n">
        <v>15.78</v>
      </c>
      <c r="E22" s="17" t="n">
        <v>31.4595</v>
      </c>
      <c r="F22" s="7">
        <f>IF(OR(D22="",E22=""),"",D22*E22)</f>
        <v/>
      </c>
    </row>
    <row r="23">
      <c r="A23" s="18" t="inlineStr"/>
      <c r="B23" s="19" t="inlineStr">
        <is>
          <t>TOTALE A</t>
        </is>
      </c>
      <c r="C23" s="18" t="inlineStr"/>
      <c r="D23" s="18" t="inlineStr"/>
      <c r="E23" s="18" t="inlineStr"/>
      <c r="F23" s="20">
        <f>SUM(F13:F22)</f>
        <v/>
      </c>
    </row>
    <row r="24">
      <c r="A24" s="2" t="inlineStr">
        <is>
          <t>3) B — REALIZZAZIONE ATTIVITA' FORMATIVE (docenza, tutoraggio, ...)   (MIN 40% di E)</t>
        </is>
      </c>
    </row>
    <row r="25">
      <c r="A25" s="8" t="inlineStr">
        <is>
          <t>Cod.</t>
        </is>
      </c>
      <c r="B25" s="8" t="inlineStr">
        <is>
          <t>Voce di costo</t>
        </is>
      </c>
      <c r="C25" s="8" t="inlineStr">
        <is>
          <t>Persona</t>
        </is>
      </c>
      <c r="D25" s="8" t="inlineStr">
        <is>
          <t>€/h</t>
        </is>
      </c>
      <c r="E25" s="8" t="inlineStr">
        <is>
          <t>Ore</t>
        </is>
      </c>
      <c r="F25" s="8" t="inlineStr">
        <is>
          <t>Costo €</t>
        </is>
      </c>
    </row>
    <row r="26">
      <c r="A26" s="9" t="inlineStr">
        <is>
          <t>B1</t>
        </is>
      </c>
      <c r="B26" s="3" t="inlineStr">
        <is>
          <t>Docenza</t>
        </is>
      </c>
      <c r="C26" s="16" t="inlineStr">
        <is>
          <t>Docente F</t>
        </is>
      </c>
      <c r="D26" s="4" t="n">
        <v>60</v>
      </c>
      <c r="E26" s="17" t="n">
        <v>30</v>
      </c>
      <c r="F26" s="7">
        <f>IF(OR(D26="",E26=""),"",D26*E26)</f>
        <v/>
      </c>
    </row>
    <row r="27">
      <c r="A27" s="9" t="inlineStr">
        <is>
          <t>B2</t>
        </is>
      </c>
      <c r="B27" s="3" t="inlineStr">
        <is>
          <t>Tutoraggio (2025)</t>
        </is>
      </c>
      <c r="C27" s="16" t="inlineStr">
        <is>
          <t>Tutor C</t>
        </is>
      </c>
      <c r="D27" s="4" t="n">
        <v>19.02</v>
      </c>
      <c r="E27" s="17" t="n">
        <v>82</v>
      </c>
      <c r="F27" s="7">
        <f>IF(OR(D27="",E27=""),"",D27*E27)</f>
        <v/>
      </c>
    </row>
    <row r="28">
      <c r="A28" s="9" t="inlineStr">
        <is>
          <t>B2</t>
        </is>
      </c>
      <c r="B28" s="3" t="inlineStr">
        <is>
          <t>Tutoraggio (2026)</t>
        </is>
      </c>
      <c r="C28" s="16" t="inlineStr">
        <is>
          <t>Tutor C</t>
        </is>
      </c>
      <c r="D28" s="4" t="n">
        <v>20.07</v>
      </c>
      <c r="E28" s="17" t="n">
        <v>26</v>
      </c>
      <c r="F28" s="7">
        <f>IF(OR(D28="",E28=""),"",D28*E28)</f>
        <v/>
      </c>
    </row>
    <row r="29">
      <c r="A29" s="9" t="inlineStr">
        <is>
          <t>B4</t>
        </is>
      </c>
      <c r="B29" s="3" t="inlineStr">
        <is>
          <t>Progettazione, elaborazione materiale didattico e FAD</t>
        </is>
      </c>
      <c r="C29" s="13" t="n"/>
      <c r="D29" s="14" t="n"/>
      <c r="E29" s="15" t="n"/>
      <c r="F29" s="7">
        <f>IF(OR(D29="",E29=""),"",D29*E29)</f>
        <v/>
      </c>
    </row>
    <row r="30">
      <c r="A30" s="9" t="inlineStr">
        <is>
          <t>B5</t>
        </is>
      </c>
      <c r="B30" s="3" t="inlineStr">
        <is>
          <t>Produzione, acquisto e distribuzione materiale didattico</t>
        </is>
      </c>
      <c r="C30" s="13" t="n"/>
      <c r="D30" s="14" t="n"/>
      <c r="E30" s="15" t="n"/>
      <c r="F30" s="7">
        <f>IF(OR(D30="",E30=""),"",D30*E30)</f>
        <v/>
      </c>
    </row>
    <row r="31">
      <c r="A31" s="9" t="inlineStr">
        <is>
          <t>B6</t>
        </is>
      </c>
      <c r="B31" s="3" t="inlineStr">
        <is>
          <t>Noleggi (mezzi e/o logistica)</t>
        </is>
      </c>
      <c r="C31" s="13" t="n"/>
      <c r="D31" s="14" t="n"/>
      <c r="E31" s="15" t="n"/>
      <c r="F31" s="7">
        <f>IF(OR(D31="",E31=""),"",D31*E31)</f>
        <v/>
      </c>
    </row>
    <row r="32">
      <c r="A32" s="9" t="inlineStr">
        <is>
          <t>B7</t>
        </is>
      </c>
      <c r="B32" s="3" t="inlineStr">
        <is>
          <t>Assicurazioni</t>
        </is>
      </c>
      <c r="C32" s="13" t="n"/>
      <c r="D32" s="14" t="n"/>
      <c r="E32" s="15" t="n"/>
      <c r="F32" s="7">
        <f>IF(OR(D32="",E32=""),"",D32*E32)</f>
        <v/>
      </c>
    </row>
    <row r="33">
      <c r="A33" s="9" t="inlineStr">
        <is>
          <t>B8</t>
        </is>
      </c>
      <c r="B33" s="3" t="inlineStr">
        <is>
          <t>Commissioni d'esame / certificazione competenze</t>
        </is>
      </c>
      <c r="C33" s="13" t="n"/>
      <c r="D33" s="14" t="n"/>
      <c r="E33" s="15" t="n"/>
      <c r="F33" s="7">
        <f>IF(OR(D33="",E33=""),"",D33*E33)</f>
        <v/>
      </c>
    </row>
    <row r="34">
      <c r="A34" s="9" t="inlineStr">
        <is>
          <t>B10</t>
        </is>
      </c>
      <c r="B34" s="3" t="inlineStr">
        <is>
          <t>Altro - Coordinamento d'aula</t>
        </is>
      </c>
      <c r="C34" s="16" t="inlineStr">
        <is>
          <t>Coordinatore A</t>
        </is>
      </c>
      <c r="D34" s="4" t="n">
        <v>25.54</v>
      </c>
      <c r="E34" s="17" t="n">
        <v>30</v>
      </c>
      <c r="F34" s="7">
        <f>IF(OR(D34="",E34=""),"",D34*E34)</f>
        <v/>
      </c>
    </row>
    <row r="35">
      <c r="A35" s="9" t="inlineStr">
        <is>
          <t>B10</t>
        </is>
      </c>
      <c r="B35" s="3" t="inlineStr">
        <is>
          <t>Altro - Monitoraggio d'aula</t>
        </is>
      </c>
      <c r="C35" s="16" t="inlineStr">
        <is>
          <t>Monitor D</t>
        </is>
      </c>
      <c r="D35" s="4" t="n">
        <v>20.3</v>
      </c>
      <c r="E35" s="17" t="n">
        <v>52.3503</v>
      </c>
      <c r="F35" s="7">
        <f>IF(OR(D35="",E35=""),"",D35*E35)</f>
        <v/>
      </c>
    </row>
    <row r="36">
      <c r="A36" s="18" t="inlineStr"/>
      <c r="B36" s="19" t="inlineStr">
        <is>
          <t>TOTALE B</t>
        </is>
      </c>
      <c r="C36" s="18" t="inlineStr"/>
      <c r="D36" s="18" t="inlineStr"/>
      <c r="E36" s="18" t="inlineStr"/>
      <c r="F36" s="20">
        <f>SUM(F26:F35)</f>
        <v/>
      </c>
    </row>
    <row r="38">
      <c r="A38" s="2" t="inlineStr">
        <is>
          <t>4) RIEPILOGO E CONTROLLI VINCOLI</t>
        </is>
      </c>
    </row>
    <row r="39">
      <c r="A39" s="6" t="inlineStr">
        <is>
          <t>C = A + B  (totale costi diretti)</t>
        </is>
      </c>
      <c r="B39" s="7">
        <f>F23+F36</f>
        <v/>
      </c>
    </row>
    <row r="40">
      <c r="A40" s="6" t="inlineStr">
        <is>
          <t>D = forfait (C × D%)</t>
        </is>
      </c>
      <c r="B40" s="7">
        <f>B39*$B$5</f>
        <v/>
      </c>
    </row>
    <row r="41">
      <c r="A41" s="6" t="inlineStr">
        <is>
          <t>E calcolato  (C + D)</t>
        </is>
      </c>
      <c r="B41" s="20">
        <f>B39+B40</f>
        <v/>
      </c>
    </row>
    <row r="42">
      <c r="A42" s="6" t="inlineStr">
        <is>
          <t>E target  (riferimento)</t>
        </is>
      </c>
      <c r="B42" s="7">
        <f>$B$4</f>
        <v/>
      </c>
    </row>
    <row r="43">
      <c r="A43" s="6" t="inlineStr">
        <is>
          <t>Δ  (E calcolato − E target)</t>
        </is>
      </c>
      <c r="B43" s="7">
        <f>B41-B42</f>
        <v/>
      </c>
    </row>
    <row r="44">
      <c r="A44" s="6" t="inlineStr">
        <is>
          <t>Stato obiettivo</t>
        </is>
      </c>
      <c r="B44" s="21">
        <f>IF(ABS(B43)&lt;0.5,"✓ RAGGIUNTO","Δ = "&amp;TEXT(B43,"0.00")&amp;" €")</f>
        <v/>
      </c>
    </row>
    <row r="45">
      <c r="A45" s="6" t="inlineStr">
        <is>
          <t>Vincolo A ≤ 35% di E</t>
        </is>
      </c>
      <c r="B45" s="22">
        <f>IF(F23&lt;=$B$7,"OK","SUPERATO")</f>
        <v/>
      </c>
    </row>
    <row r="46">
      <c r="A46" s="6" t="inlineStr">
        <is>
          <t>Vincolo B ≥ 40% di E</t>
        </is>
      </c>
      <c r="B46" s="22">
        <f>IF(F36&gt;=$B$8,"OK","SOTTO MINIMO")</f>
        <v/>
      </c>
    </row>
    <row r="47">
      <c r="A47" s="6" t="inlineStr">
        <is>
          <t>Vincolo D ≤ 25% di C</t>
        </is>
      </c>
      <c r="B47" s="22">
        <f>IF(B40&lt;=B39*0.25,"OK","SUPERATO")</f>
        <v/>
      </c>
    </row>
    <row r="49">
      <c r="A49" s="2" t="inlineStr">
        <is>
          <t>5) SIMULATORE — quante ore mancano al target?</t>
        </is>
      </c>
    </row>
    <row r="50">
      <c r="A50" s="6" t="inlineStr">
        <is>
          <t>Residuo al target  (C_target − C_attuale)</t>
        </is>
      </c>
      <c r="B50" s="20">
        <f>$B$6-B39</f>
        <v/>
      </c>
    </row>
    <row r="51">
      <c r="A51" s="6" t="inlineStr">
        <is>
          <t>Costo orario di riferimento  (a chi vuoi aggiungere ore)</t>
        </is>
      </c>
      <c r="B51" s="4" t="n">
        <v>60</v>
      </c>
    </row>
    <row r="52">
      <c r="A52" s="6" t="inlineStr">
        <is>
          <t>ORE necessarie per chiudere il target  (residuo ÷ €/h)</t>
        </is>
      </c>
      <c r="B52" s="23">
        <f>IF(B51=0,"",B50/B51)</f>
        <v/>
      </c>
    </row>
    <row r="54">
      <c r="A54" s="24" t="inlineStr">
        <is>
          <t>NOTE D'USO</t>
        </is>
      </c>
    </row>
    <row r="55">
      <c r="A55" s="25" t="inlineStr">
        <is>
          <t>• Celle GIALLE = input da compilare. Tutto il resto è calcolato in automatico.</t>
        </is>
      </c>
    </row>
    <row r="56">
      <c r="A56" s="25" t="inlineStr">
        <is>
          <t>• Inserisci persona, €/h e ore nelle tabelle A e B: il costo di riga e i totali si aggiornano da soli.</t>
        </is>
      </c>
    </row>
    <row r="57">
      <c r="A57" s="25" t="inlineStr">
        <is>
          <t>• L'obiettivo è far coincidere 'E calcolato' con 'E target' (Δ = 0 → RAGGIUNTO).</t>
        </is>
      </c>
    </row>
    <row r="58">
      <c r="A58" s="25" t="inlineStr">
        <is>
          <t>• I 3 semafori controllano i vincoli del fondo: A≤35%, B≥40%, D≤25%. Se uno è rosso, riequilibra.</t>
        </is>
      </c>
    </row>
    <row r="59">
      <c r="A59" s="25" t="inlineStr">
        <is>
          <t>• Il simulatore (zona 5) ti dice quante ore aggiungere a una persona per chiudere il residuo al target.</t>
        </is>
      </c>
    </row>
    <row r="60">
      <c r="A60" s="25" t="inlineStr">
        <is>
          <t>• Le voci A8/Fidejussione sono costi fissi: usa ore=1.</t>
        </is>
      </c>
    </row>
  </sheetData>
  <mergeCells count="13">
    <mergeCell ref="A38:F38"/>
    <mergeCell ref="A24:F24"/>
    <mergeCell ref="A11:F11"/>
    <mergeCell ref="A49:F49"/>
    <mergeCell ref="A54:F54"/>
    <mergeCell ref="A60:F60"/>
    <mergeCell ref="A1:F1"/>
    <mergeCell ref="A58:F58"/>
    <mergeCell ref="A56:F56"/>
    <mergeCell ref="A3:F3"/>
    <mergeCell ref="A55:F55"/>
    <mergeCell ref="A59:F59"/>
    <mergeCell ref="A57:F57"/>
  </mergeCells>
  <conditionalFormatting sqref="B45">
    <cfRule type="cellIs" priority="1" operator="equal" dxfId="0">
      <formula>"OK"</formula>
    </cfRule>
    <cfRule type="cellIs" priority="2" operator="notEqual" dxfId="1">
      <formula>"OK"</formula>
    </cfRule>
  </conditionalFormatting>
  <conditionalFormatting sqref="B46">
    <cfRule type="cellIs" priority="3" operator="equal" dxfId="0">
      <formula>"OK"</formula>
    </cfRule>
    <cfRule type="cellIs" priority="4" operator="notEqual" dxfId="1">
      <formula>"OK"</formula>
    </cfRule>
  </conditionalFormatting>
  <conditionalFormatting sqref="B47">
    <cfRule type="cellIs" priority="5" operator="equal" dxfId="0">
      <formula>"OK"</formula>
    </cfRule>
    <cfRule type="cellIs" priority="6" operator="notEqual" dxfId="1">
      <formula>"OK"</formula>
    </cfRule>
  </conditionalFormatting>
  <conditionalFormatting sqref="B44">
    <cfRule type="cellIs" priority="7" operator="containsText" dxfId="0">
      <formula>"RAGGIUNTO"</formula>
    </cfRule>
    <cfRule type="cellIs" priority="8" operator="notContains" dxfId="1">
      <formula>"RAGGIUNTO"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2026-08-26T13:56:26Z</dcterms:created>
  <dcterms:modified xmlns:dcterms="http://purl.org/dc/terms/" xmlns:xsi="http://www.w3.org/2001/XMLSchema-instance" xsi:type="dcterms:W3CDTF">2026-08-26T13:56:26Z</dcterms:modified>
</cp:coreProperties>
</file>